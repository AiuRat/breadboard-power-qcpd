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ПРОЧЕЕ\Колледж\5 курс\Дипломы\.Работы\В РАБОТЕ\...МОЙ\Диплом\"/>
    </mc:Choice>
  </mc:AlternateContent>
  <xr:revisionPtr revIDLastSave="0" documentId="13_ncr:1_{77A86E02-EB08-41D1-A6A0-8BBA44DF2089}" xr6:coauthVersionLast="47" xr6:coauthVersionMax="47" xr10:uidLastSave="{00000000-0000-0000-0000-000000000000}"/>
  <bookViews>
    <workbookView xWindow="8145" yWindow="900" windowWidth="20700" windowHeight="134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<sst xmlns="http://schemas.openxmlformats.org/spreadsheetml/2006/main" count="107" uniqueCount="101">
  <si>
    <t>Элементы</t>
  </si>
  <si>
    <t>Ссылка</t>
  </si>
  <si>
    <t>Количество</t>
  </si>
  <si>
    <t>Номиналы</t>
  </si>
  <si>
    <t>0,22 Ом</t>
  </si>
  <si>
    <t>1 кОм</t>
  </si>
  <si>
    <t>10 кОм</t>
  </si>
  <si>
    <t>Наличие</t>
  </si>
  <si>
    <t>2,2 нФ</t>
  </si>
  <si>
    <t>1 мкФ</t>
  </si>
  <si>
    <t>10 мкФ</t>
  </si>
  <si>
    <t>Переключатели</t>
  </si>
  <si>
    <t>Наименование</t>
  </si>
  <si>
    <t>DS1040-03RN</t>
  </si>
  <si>
    <t>LD1086DT33TR</t>
  </si>
  <si>
    <t>Стабилизатор</t>
  </si>
  <si>
    <t>CH224K</t>
  </si>
  <si>
    <t>Разъёмы</t>
  </si>
  <si>
    <t>TYPEC-304-ACP16</t>
  </si>
  <si>
    <t>https://www.chipdip.ru/product/ds1040-03rn</t>
  </si>
  <si>
    <t>https://www.chipdip.ru/product/ld1086dt33tr-stm</t>
  </si>
  <si>
    <t>https://www.chipdip.ru/product0/8029704295</t>
  </si>
  <si>
    <t>https://www.chipdip.ru/product0/8015750283</t>
  </si>
  <si>
    <t>https://www.chipdip.ru/product/grm188r61h105kaald</t>
  </si>
  <si>
    <t>https://www.chipdip.ru/product/tecap-10-mkf-10-v-tip-a-10</t>
  </si>
  <si>
    <t>https://www.chipdip.ru/product/tecap-47-mkf-20-v-tip-d-10</t>
  </si>
  <si>
    <t>47 мкФ</t>
  </si>
  <si>
    <t>Обозначение</t>
  </si>
  <si>
    <t>R4</t>
  </si>
  <si>
    <t>C1</t>
  </si>
  <si>
    <t>C0603</t>
  </si>
  <si>
    <t>C2</t>
  </si>
  <si>
    <t>C3</t>
  </si>
  <si>
    <t>CASE-D_7343</t>
  </si>
  <si>
    <t>C4,C5</t>
  </si>
  <si>
    <t>CASE-A_3216</t>
  </si>
  <si>
    <t>MC34063AG-S08-R</t>
  </si>
  <si>
    <t>DA1</t>
  </si>
  <si>
    <t>SOIC-8_L5.0-W4.0-P1.27-LS6.0-BL</t>
  </si>
  <si>
    <t>DA2</t>
  </si>
  <si>
    <t>TO-252-2_L6.5-W6.1-P4.58-LS10.0-TL</t>
  </si>
  <si>
    <t>DD1</t>
  </si>
  <si>
    <t>ESSOP-10_L4.9-W3.9-P1.0-LS6.0-TL-EP</t>
  </si>
  <si>
    <t>SPQ105-560M</t>
  </si>
  <si>
    <t>L1</t>
  </si>
  <si>
    <t>IND-SMD_L10.4-W10.2</t>
  </si>
  <si>
    <t>R3</t>
  </si>
  <si>
    <t>SA1,SA3</t>
  </si>
  <si>
    <t>SA2</t>
  </si>
  <si>
    <t>KEY-TH_DS1040-03RN</t>
  </si>
  <si>
    <t>15MQ040N</t>
  </si>
  <si>
    <t>VD1</t>
  </si>
  <si>
    <t>SMA_L4.4-W2.6-LS5.2-RD</t>
  </si>
  <si>
    <t>LED-0603_R</t>
  </si>
  <si>
    <t>LED0603_RED</t>
  </si>
  <si>
    <t>X1</t>
  </si>
  <si>
    <t>USB-C-SMD_TYPE-C-16P-1</t>
  </si>
  <si>
    <t>HDR-M-2.54_2x5</t>
  </si>
  <si>
    <t>X2,X3</t>
  </si>
  <si>
    <t>HDR-M-2.54_2X5</t>
  </si>
  <si>
    <t>Резисторы</t>
  </si>
  <si>
    <t>R0603</t>
  </si>
  <si>
    <t>https://www.chipdip.ru/product0/8007033652</t>
  </si>
  <si>
    <t>https://www.chipdip.ru/product0/8014349442</t>
  </si>
  <si>
    <t>Конденсаторы</t>
  </si>
  <si>
    <t>Микросхемы</t>
  </si>
  <si>
    <t>https://www.chipdip.ru/product/pld-10</t>
  </si>
  <si>
    <t>Диод шоттки</t>
  </si>
  <si>
    <t>Светодиод</t>
  </si>
  <si>
    <t>https://www.chipdip.ru/product/gnl-0603gc</t>
  </si>
  <si>
    <t>https://www.chipdip.ru/product/15mq040n-hottech</t>
  </si>
  <si>
    <t>Катушка</t>
  </si>
  <si>
    <t>Типоразмеры</t>
  </si>
  <si>
    <t>220 мкГн</t>
  </si>
  <si>
    <t>https://www.chipdip.ru/product0/8004352023</t>
  </si>
  <si>
    <t>https://www.chipdip.ru/product0/8008634629</t>
  </si>
  <si>
    <t>SW-TH_6P-L9.0-W3.5-P2.50-LS3.3</t>
  </si>
  <si>
    <t>MS-22D16G2-B COPY</t>
  </si>
  <si>
    <t>7+9</t>
  </si>
  <si>
    <t>6(+47)</t>
  </si>
  <si>
    <t>910 Ом</t>
  </si>
  <si>
    <t>R1, R2, R5, R6, R7</t>
  </si>
  <si>
    <t>R8, R9</t>
  </si>
  <si>
    <t>https://www.chipdip.ru/product/0.1w-0603-10-kom-5</t>
  </si>
  <si>
    <t>https://www.chipdip.ru/product/0.1w-0603-910-om-5</t>
  </si>
  <si>
    <t>https://www.chipdip.ru/product/0.1w-0603-1-kom-5</t>
  </si>
  <si>
    <t>100 пФ</t>
  </si>
  <si>
    <t>5(+4)</t>
  </si>
  <si>
    <t>R2512</t>
  </si>
  <si>
    <t>HL1</t>
  </si>
  <si>
    <t>https://www.chipdip.ru/product/b82464g4224m</t>
  </si>
  <si>
    <t>ЗАМЕНА ПО РАСЧЁТАМ</t>
  </si>
  <si>
    <t>0,3 Ом</t>
  </si>
  <si>
    <t>всего</t>
  </si>
  <si>
    <t>R1</t>
  </si>
  <si>
    <t>13 кОм</t>
  </si>
  <si>
    <t>1,2 кОм</t>
  </si>
  <si>
    <t>https://www.chipdip.ru/product0/9000388849</t>
  </si>
  <si>
    <t>https://www.chipdip.ru/product0/8003749926</t>
  </si>
  <si>
    <t>https://www.chipdip.ru/product0/9000176517</t>
  </si>
  <si>
    <t>https://www.chipdip.ru/product/grm1885c1h101j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</si>
</sst>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hipdip.ru/product/pld-10" TargetMode="External"/><Relationship Id="rId13" Type="http://schemas.openxmlformats.org/officeDocument/2006/relationships/hyperlink" Target="https://www.chipdip.ru/product0/8004352023" TargetMode="External"/><Relationship Id="rId18" Type="http://schemas.openxmlformats.org/officeDocument/2006/relationships/hyperlink" Target="https://www.chipdip.ru/product/0.1w-0603-910-om-5" TargetMode="External"/><Relationship Id="rId3" Type="http://schemas.openxmlformats.org/officeDocument/2006/relationships/hyperlink" Target="https://www.chipdip.ru/product/tecap-47-mkf-20-v-tip-d-10" TargetMode="External"/><Relationship Id="rId21" Type="http://schemas.openxmlformats.org/officeDocument/2006/relationships/hyperlink" Target="https://www.chipdip.ru/product0/9000176517" TargetMode="External"/><Relationship Id="rId7" Type="http://schemas.openxmlformats.org/officeDocument/2006/relationships/hyperlink" Target="https://www.chipdip.ru/product0/8015750283" TargetMode="External"/><Relationship Id="rId12" Type="http://schemas.openxmlformats.org/officeDocument/2006/relationships/hyperlink" Target="https://www.chipdip.ru/product/ds1040-03rn" TargetMode="External"/><Relationship Id="rId17" Type="http://schemas.openxmlformats.org/officeDocument/2006/relationships/hyperlink" Target="https://www.chipdip.ru/product/0.1w-0603-10-kom-5" TargetMode="External"/><Relationship Id="rId2" Type="http://schemas.openxmlformats.org/officeDocument/2006/relationships/hyperlink" Target="https://www.chipdip.ru/product/grm188r61h105kaald" TargetMode="External"/><Relationship Id="rId16" Type="http://schemas.openxmlformats.org/officeDocument/2006/relationships/hyperlink" Target="https://www.chipdip.ru/product/0.1w-0603-1-kom-5" TargetMode="External"/><Relationship Id="rId20" Type="http://schemas.openxmlformats.org/officeDocument/2006/relationships/hyperlink" Target="https://www.chipdip.ru/product0/8003749926" TargetMode="External"/><Relationship Id="rId1" Type="http://schemas.openxmlformats.org/officeDocument/2006/relationships/hyperlink" Target="https://www.chipdip.ru/product0/8007033652" TargetMode="External"/><Relationship Id="rId6" Type="http://schemas.openxmlformats.org/officeDocument/2006/relationships/hyperlink" Target="https://www.chipdip.ru/product/ld1086dt33tr-stm" TargetMode="External"/><Relationship Id="rId11" Type="http://schemas.openxmlformats.org/officeDocument/2006/relationships/hyperlink" Target="https://www.chipdip.ru/product/b82464g4224m" TargetMode="External"/><Relationship Id="rId5" Type="http://schemas.openxmlformats.org/officeDocument/2006/relationships/hyperlink" Target="https://www.chipdip.ru/product0/8014349442" TargetMode="External"/><Relationship Id="rId15" Type="http://schemas.openxmlformats.org/officeDocument/2006/relationships/hyperlink" Target="https://www.chipdip.ru/product0/8029704295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chipdip.ru/product/15mq040n-hottech" TargetMode="External"/><Relationship Id="rId19" Type="http://schemas.openxmlformats.org/officeDocument/2006/relationships/hyperlink" Target="https://www.chipdip.ru/product0/9000388849" TargetMode="External"/><Relationship Id="rId4" Type="http://schemas.openxmlformats.org/officeDocument/2006/relationships/hyperlink" Target="https://www.chipdip.ru/product/tecap-10-mkf-10-v-tip-a-10" TargetMode="External"/><Relationship Id="rId9" Type="http://schemas.openxmlformats.org/officeDocument/2006/relationships/hyperlink" Target="https://www.chipdip.ru/product/gnl-0603gc" TargetMode="External"/><Relationship Id="rId14" Type="http://schemas.openxmlformats.org/officeDocument/2006/relationships/hyperlink" Target="https://www.chipdip.ru/product0/8008634629" TargetMode="External"/><Relationship Id="rId22" Type="http://schemas.openxmlformats.org/officeDocument/2006/relationships/hyperlink" Target="https://www.chipdip.ru/product/grm1885c1h101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topLeftCell="B1" zoomScale="115" zoomScaleNormal="115" workbookViewId="0">
      <selection activeCell="H22" sqref="H22"/>
    </sheetView>
  </sheetViews>
  <sheetFormatPr defaultRowHeight="15" x14ac:dyDescent="0.25"/>
  <cols>
    <col min="1" max="1" width="15.85546875" bestFit="1" customWidth="1"/>
    <col min="2" max="2" width="16.28515625" bestFit="1" customWidth="1"/>
    <col min="3" max="3" width="34.7109375" bestFit="1" customWidth="1"/>
    <col min="4" max="4" width="19.28515625" bestFit="1" customWidth="1"/>
    <col min="5" max="5" width="10.7109375" bestFit="1" customWidth="1"/>
    <col min="6" max="6" width="11.5703125" bestFit="1" customWidth="1"/>
    <col min="7" max="7" width="9.42578125" bestFit="1" customWidth="1"/>
    <col min="8" max="8" width="56.140625" bestFit="1" customWidth="1"/>
  </cols>
  <sheetData>
    <row r="1" spans="1:15" x14ac:dyDescent="0.25">
      <c r="A1" t="s">
        <v>0</v>
      </c>
      <c r="B1" t="s">
        <v>27</v>
      </c>
      <c r="C1" t="s">
        <v>72</v>
      </c>
      <c r="D1" t="s">
        <v>12</v>
      </c>
      <c r="E1" t="s">
        <v>3</v>
      </c>
      <c r="F1" t="s">
        <v>2</v>
      </c>
      <c r="G1" t="s">
        <v>7</v>
      </c>
      <c r="H1" t="s">
        <v>1</v>
      </c>
    </row>
    <row r="2" spans="1:15" x14ac:dyDescent="0.25">
      <c r="A2" t="s">
        <v>60</v>
      </c>
      <c r="B2" t="s">
        <v>81</v>
      </c>
      <c r="C2" t="s">
        <v>61</v>
      </c>
      <c r="E2" s="2" t="s">
        <v>6</v>
      </c>
      <c r="F2" s="2">
        <v>5</v>
      </c>
      <c r="G2" s="2">
        <v>31</v>
      </c>
      <c r="H2" s="1" t="s">
        <v>83</v>
      </c>
      <c r="I2" s="2"/>
    </row>
    <row r="3" spans="1:15" x14ac:dyDescent="0.25">
      <c r="B3" t="s">
        <v>46</v>
      </c>
      <c r="C3" t="s">
        <v>88</v>
      </c>
      <c r="E3" s="2" t="s">
        <v>4</v>
      </c>
      <c r="F3" s="2">
        <v>1</v>
      </c>
      <c r="G3" s="2">
        <v>9</v>
      </c>
      <c r="H3" s="1" t="s">
        <v>74</v>
      </c>
      <c r="I3" s="2"/>
    </row>
    <row r="4" spans="1:15" x14ac:dyDescent="0.25">
      <c r="B4" t="s">
        <v>28</v>
      </c>
      <c r="C4" t="s">
        <v>61</v>
      </c>
      <c r="E4" s="2" t="s">
        <v>80</v>
      </c>
      <c r="F4" s="2">
        <v>1</v>
      </c>
      <c r="G4" s="2">
        <v>16</v>
      </c>
      <c r="H4" s="1" t="s">
        <v>84</v>
      </c>
      <c r="I4" s="2"/>
    </row>
    <row r="5" spans="1:15" x14ac:dyDescent="0.25">
      <c r="B5" t="s">
        <v>82</v>
      </c>
      <c r="C5" t="s">
        <v>61</v>
      </c>
      <c r="E5" s="2" t="s">
        <v>5</v>
      </c>
      <c r="F5" s="2">
        <v>2</v>
      </c>
      <c r="G5" s="2">
        <v>14</v>
      </c>
      <c r="H5" s="1" t="s">
        <v>85</v>
      </c>
      <c r="I5" s="2"/>
    </row>
    <row r="6" spans="1:15" x14ac:dyDescent="0.25">
      <c r="A6" t="s">
        <v>64</v>
      </c>
      <c r="B6" t="s">
        <v>29</v>
      </c>
      <c r="C6" t="s">
        <v>30</v>
      </c>
      <c r="E6" s="2" t="s">
        <v>8</v>
      </c>
      <c r="F6" s="2">
        <v>1</v>
      </c>
      <c r="G6" s="2">
        <v>99</v>
      </c>
      <c r="H6" s="1" t="s">
        <v>62</v>
      </c>
      <c r="I6" s="2"/>
    </row>
    <row r="7" spans="1:15" x14ac:dyDescent="0.25">
      <c r="B7" t="s">
        <v>31</v>
      </c>
      <c r="C7" t="s">
        <v>30</v>
      </c>
      <c r="E7" s="2" t="s">
        <v>9</v>
      </c>
      <c r="F7" s="2">
        <v>1</v>
      </c>
      <c r="G7" s="2">
        <v>9</v>
      </c>
      <c r="H7" s="1" t="s">
        <v>23</v>
      </c>
      <c r="I7" s="2"/>
    </row>
    <row r="8" spans="1:15" x14ac:dyDescent="0.25">
      <c r="B8" t="s">
        <v>32</v>
      </c>
      <c r="C8" t="s">
        <v>33</v>
      </c>
      <c r="E8" s="2" t="s">
        <v>26</v>
      </c>
      <c r="F8" s="2">
        <v>1</v>
      </c>
      <c r="G8" s="2">
        <v>6</v>
      </c>
      <c r="H8" s="1" t="s">
        <v>25</v>
      </c>
      <c r="I8" s="2"/>
      <c r="L8" s="2"/>
      <c r="O8" s="1"/>
    </row>
    <row r="9" spans="1:15" x14ac:dyDescent="0.25">
      <c r="B9" t="s">
        <v>34</v>
      </c>
      <c r="C9" t="s">
        <v>35</v>
      </c>
      <c r="E9" s="2" t="s">
        <v>10</v>
      </c>
      <c r="F9" s="2">
        <v>2</v>
      </c>
      <c r="G9" s="2">
        <v>12</v>
      </c>
      <c r="H9" s="1" t="s">
        <v>24</v>
      </c>
      <c r="I9" s="2"/>
      <c r="L9" s="2"/>
      <c r="O9" s="1"/>
    </row>
    <row r="10" spans="1:15" x14ac:dyDescent="0.25">
      <c r="A10" t="s">
        <v>65</v>
      </c>
      <c r="B10" t="s">
        <v>37</v>
      </c>
      <c r="C10" t="s">
        <v>38</v>
      </c>
      <c r="D10" t="s">
        <v>36</v>
      </c>
      <c r="E10" s="2"/>
      <c r="F10" s="2">
        <v>1</v>
      </c>
      <c r="G10" s="2">
        <v>30</v>
      </c>
      <c r="H10" s="1" t="s">
        <v>63</v>
      </c>
      <c r="I10" s="2"/>
      <c r="L10" s="2"/>
      <c r="O10" s="1"/>
    </row>
    <row r="11" spans="1:15" x14ac:dyDescent="0.25">
      <c r="B11" t="s">
        <v>41</v>
      </c>
      <c r="C11" t="s">
        <v>42</v>
      </c>
      <c r="D11" t="s">
        <v>16</v>
      </c>
      <c r="E11" s="2"/>
      <c r="F11" s="2">
        <v>1</v>
      </c>
      <c r="G11" s="2" t="s">
        <v>78</v>
      </c>
      <c r="H11" s="1" t="s">
        <v>21</v>
      </c>
      <c r="I11" s="2"/>
      <c r="L11" s="2"/>
      <c r="O11" s="1"/>
    </row>
    <row r="12" spans="1:15" x14ac:dyDescent="0.25">
      <c r="A12" t="s">
        <v>15</v>
      </c>
      <c r="B12" t="s">
        <v>39</v>
      </c>
      <c r="C12" t="s">
        <v>40</v>
      </c>
      <c r="D12" t="s">
        <v>14</v>
      </c>
      <c r="E12" s="2"/>
      <c r="F12" s="2">
        <v>1</v>
      </c>
      <c r="G12" s="2">
        <v>6</v>
      </c>
      <c r="H12" s="1" t="s">
        <v>20</v>
      </c>
      <c r="I12" s="2"/>
      <c r="L12" s="2"/>
      <c r="O12" s="1"/>
    </row>
    <row r="13" spans="1:15" x14ac:dyDescent="0.25">
      <c r="A13" t="s">
        <v>71</v>
      </c>
      <c r="B13" t="s">
        <v>44</v>
      </c>
      <c r="C13" t="s">
        <v>45</v>
      </c>
      <c r="D13" t="s">
        <v>43</v>
      </c>
      <c r="E13" s="2" t="s">
        <v>73</v>
      </c>
      <c r="F13" s="2">
        <v>1</v>
      </c>
      <c r="G13" s="2" t="s">
        <v>87</v>
      </c>
      <c r="H13" s="1" t="s">
        <v>90</v>
      </c>
      <c r="I13" s="2"/>
      <c r="O13" s="1"/>
    </row>
    <row r="14" spans="1:15" x14ac:dyDescent="0.25">
      <c r="A14" t="s">
        <v>11</v>
      </c>
      <c r="B14" t="s">
        <v>47</v>
      </c>
      <c r="C14" t="s">
        <v>76</v>
      </c>
      <c r="D14" t="s">
        <v>77</v>
      </c>
      <c r="E14" s="2"/>
      <c r="F14" s="2">
        <v>2</v>
      </c>
      <c r="G14" s="2">
        <v>12</v>
      </c>
      <c r="H14" s="1" t="s">
        <v>75</v>
      </c>
      <c r="I14" s="2"/>
      <c r="O14" s="1"/>
    </row>
    <row r="15" spans="1:15" x14ac:dyDescent="0.25">
      <c r="B15" t="s">
        <v>48</v>
      </c>
      <c r="C15" t="s">
        <v>49</v>
      </c>
      <c r="D15" t="s">
        <v>13</v>
      </c>
      <c r="E15" s="2"/>
      <c r="F15" s="2">
        <v>1</v>
      </c>
      <c r="G15" s="2">
        <v>6</v>
      </c>
      <c r="H15" s="1" t="s">
        <v>19</v>
      </c>
      <c r="I15" s="2"/>
      <c r="O15" s="1"/>
    </row>
    <row r="16" spans="1:15" x14ac:dyDescent="0.25">
      <c r="A16" t="s">
        <v>67</v>
      </c>
      <c r="B16" t="s">
        <v>51</v>
      </c>
      <c r="C16" t="s">
        <v>52</v>
      </c>
      <c r="D16" t="s">
        <v>50</v>
      </c>
      <c r="E16" s="2"/>
      <c r="F16" s="2">
        <v>1</v>
      </c>
      <c r="G16" s="2">
        <v>6</v>
      </c>
      <c r="H16" s="1" t="s">
        <v>70</v>
      </c>
      <c r="I16" s="2"/>
      <c r="O16" s="1"/>
    </row>
    <row r="17" spans="1:15" x14ac:dyDescent="0.25">
      <c r="A17" t="s">
        <v>68</v>
      </c>
      <c r="B17" t="s">
        <v>89</v>
      </c>
      <c r="C17" t="s">
        <v>54</v>
      </c>
      <c r="D17" t="s">
        <v>53</v>
      </c>
      <c r="E17" s="2"/>
      <c r="F17" s="2">
        <v>1</v>
      </c>
      <c r="G17" s="2">
        <v>6</v>
      </c>
      <c r="H17" s="1" t="s">
        <v>69</v>
      </c>
      <c r="I17" s="2"/>
      <c r="O17" s="1"/>
    </row>
    <row r="18" spans="1:15" x14ac:dyDescent="0.25">
      <c r="A18" t="s">
        <v>17</v>
      </c>
      <c r="B18" t="s">
        <v>55</v>
      </c>
      <c r="C18" t="s">
        <v>56</v>
      </c>
      <c r="D18" t="s">
        <v>18</v>
      </c>
      <c r="E18" s="2"/>
      <c r="F18" s="2">
        <v>1</v>
      </c>
      <c r="G18" s="2" t="s">
        <v>79</v>
      </c>
      <c r="H18" s="1" t="s">
        <v>22</v>
      </c>
      <c r="I18" s="2"/>
      <c r="O18" s="1"/>
    </row>
    <row r="19" spans="1:15" x14ac:dyDescent="0.25">
      <c r="B19" t="s">
        <v>58</v>
      </c>
      <c r="C19" t="s">
        <v>59</v>
      </c>
      <c r="D19" t="s">
        <v>57</v>
      </c>
      <c r="F19" s="2">
        <v>2</v>
      </c>
      <c r="G19" s="2">
        <v>12</v>
      </c>
      <c r="H19" s="1" t="s">
        <v>66</v>
      </c>
      <c r="I19" s="2"/>
      <c r="O19" s="1"/>
    </row>
    <row r="20" spans="1:15" x14ac:dyDescent="0.25">
      <c r="E20" s="2" t="s">
        <v>93</v>
      </c>
      <c r="F20" s="2">
        <f>SUM(F2:F19)</f>
        <v>26</v>
      </c>
      <c r="G20" s="2"/>
      <c r="H20" s="1"/>
      <c r="O20" s="1"/>
    </row>
    <row r="21" spans="1:15" x14ac:dyDescent="0.25">
      <c r="A21" t="s">
        <v>91</v>
      </c>
      <c r="B21" t="s">
        <v>29</v>
      </c>
      <c r="C21" t="s">
        <v>86</v>
      </c>
      <c r="G21" s="2"/>
      <c r="H21" s="1" t="s">
        <v>100</v>
      </c>
      <c r="O21" s="1"/>
    </row>
    <row r="22" spans="1:15" x14ac:dyDescent="0.25">
      <c r="B22" t="s">
        <v>94</v>
      </c>
      <c r="C22" t="s">
        <v>95</v>
      </c>
      <c r="H22" s="1" t="s">
        <v>97</v>
      </c>
      <c r="O22" s="1"/>
    </row>
    <row r="23" spans="1:15" x14ac:dyDescent="0.25">
      <c r="B23" t="s">
        <v>46</v>
      </c>
      <c r="C23" t="s">
        <v>92</v>
      </c>
      <c r="H23" s="1" t="s">
        <v>98</v>
      </c>
      <c r="O23" s="1"/>
    </row>
    <row r="24" spans="1:15" x14ac:dyDescent="0.25">
      <c r="B24" t="s">
        <v>28</v>
      </c>
      <c r="C24" t="s">
        <v>96</v>
      </c>
      <c r="H24" s="1" t="s">
        <v>99</v>
      </c>
      <c r="O24" s="1"/>
    </row>
  </sheetData>
  <phoneticPr fontId="2" type="noConversion"/>
  <hyperlinks>
    <hyperlink ref="H6" r:id="rId1" xr:uid="{8B07012F-18B8-4174-B921-549BFF0E5AA3}"/>
    <hyperlink ref="H7" r:id="rId2" xr:uid="{F7C3E5D0-B415-45F0-9F31-0765D8F4D390}"/>
    <hyperlink ref="H8" r:id="rId3" xr:uid="{BDCFA3F8-EFDF-4974-8764-78A26FD8F1D8}"/>
    <hyperlink ref="H9" r:id="rId4" xr:uid="{809570E2-141A-47CE-A1DA-A6FDC2A9C184}"/>
    <hyperlink ref="H10" r:id="rId5" xr:uid="{02FCAB2F-1BA1-4CD3-9EE1-E9AE98B12B6E}"/>
    <hyperlink ref="H12" r:id="rId6" xr:uid="{E58FF732-51F3-47A7-AA80-872B35B79C91}"/>
    <hyperlink ref="H18" r:id="rId7" xr:uid="{4359FD89-2BDD-4EE2-B299-F3F5D61BC9C0}"/>
    <hyperlink ref="H19" r:id="rId8" xr:uid="{5BCC7B57-F23D-435F-8DFA-8ABA07EA63A7}"/>
    <hyperlink ref="H17" r:id="rId9" xr:uid="{20206CD3-5586-4298-A261-F94B8885C31F}"/>
    <hyperlink ref="H16" r:id="rId10" xr:uid="{D2ECFF2A-F76C-4F5F-A01D-930545D9BBB1}"/>
    <hyperlink ref="H13" r:id="rId11" xr:uid="{3C42E7A9-B52C-495B-8DD9-0EACBB538694}"/>
    <hyperlink ref="H15" r:id="rId12" xr:uid="{F35E4B90-88FC-4D0E-BB72-F7D7824A9719}"/>
    <hyperlink ref="H3" r:id="rId13" xr:uid="{5D3E44A2-0496-4117-B6F4-033D5C9A5E35}"/>
    <hyperlink ref="H14" r:id="rId14" xr:uid="{6BC1E3A6-2DD9-4F68-B517-B3D5A00DE662}"/>
    <hyperlink ref="H11" r:id="rId15" xr:uid="{6FF73B55-6DCD-4BBD-B61B-7E826135A98A}"/>
    <hyperlink ref="H5" r:id="rId16" xr:uid="{6EE0AEA4-4F92-4397-8DF0-DBA36561BEBD}"/>
    <hyperlink ref="H2" r:id="rId17" xr:uid="{76F7F569-627B-4AD7-BB06-05DAC7319877}"/>
    <hyperlink ref="H4" r:id="rId18" xr:uid="{48CDA878-61BE-45AB-B56F-7653D55E5FEA}"/>
    <hyperlink ref="H22" r:id="rId19" xr:uid="{4D310CCF-4F3B-4B79-9EDC-9720A9FACE68}"/>
    <hyperlink ref="H23" r:id="rId20" xr:uid="{5DA96E43-2C6E-41FE-88F2-CC5CA454A29A}"/>
    <hyperlink ref="H24" r:id="rId21" xr:uid="{DAC700D6-78E6-4CDC-ACE2-FD5C1A6C4D26}"/>
    <hyperlink ref="H21" r:id="rId22" xr:uid="{20C62ACC-6385-48C6-9F18-7D587B738602}"/>
  </hyperlinks>
  <pageMargins left="0.7" right="0.7" top="0.75" bottom="0.75" header="0.3" footer="0.3"/>
  <pageSetup paperSize="9"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AiuRat</dc:creator>
  <cp:lastModifiedBy>Администратор</cp:lastModifiedBy>
  <dcterms:created xsi:type="dcterms:W3CDTF">2015-06-05T18:19:34Z</dcterms:created>
  <dcterms:modified xsi:type="dcterms:W3CDTF">2025-06-08T09:05:37Z</dcterms:modified>
</cp:coreProperties>
</file>